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isting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<sst xmlns="http://schemas.openxmlformats.org/spreadsheetml/2006/main" count="129" uniqueCount="56">
  <si>
    <t xml:space="preserve">Torchlight Infinite - Trade Market Price Tracker</t>
  </si>
  <si>
    <t xml:space="preserve">How to use:</t>
  </si>
  <si>
    <t xml:space="preserve">1. Go to the Listings sheet.</t>
  </si>
  <si>
    <t xml:space="preserve">2. Click the last cell in the last row and press TAB - this extends</t>
  </si>
  <si>
    <t xml:space="preserve">   the table into a new row. The Summary only sees rows INSIDE the table,</t>
  </si>
  <si>
    <t xml:space="preserve">   so always add new data this way (or by dragging the handle at the</t>
  </si>
  <si>
    <t xml:space="preserve">   bottom-right corner of the table down).</t>
  </si>
  <si>
    <t xml:space="preserve">3. Fill Date, Item, Qty, Total Price. Per Unit auto-calculates.</t>
  </si>
  <si>
    <t xml:space="preserve">4. Item names must match exactly for stats to aggregate.</t>
  </si>
  <si>
    <t xml:space="preserve">5. The Summary sheet auto-updates - no manual refresh needed.</t>
  </si>
  <si>
    <t xml:space="preserve">Adding a NEW item not yet tracked:</t>
  </si>
  <si>
    <t xml:space="preserve">  Add a row on Listings with the new item name, then add a row on Summary</t>
  </si>
  <si>
    <t xml:space="preserve">  with that same name in column A - copy any existing Summary row's formulas.</t>
  </si>
  <si>
    <t xml:space="preserve">Columns on Listings:</t>
  </si>
  <si>
    <t xml:space="preserve">  Date         - when you observed the listing</t>
  </si>
  <si>
    <t xml:space="preserve">  Item         - item name (must match across rows for stats to aggregate)</t>
  </si>
  <si>
    <t xml:space="preserve">  Qty          - stack size being sold</t>
  </si>
  <si>
    <t xml:space="preserve">  Total Price  - price for the whole stack (in Primo Sparks unless noted)</t>
  </si>
  <si>
    <t xml:space="preserve">  Per Unit     - auto: Total / Qty</t>
  </si>
  <si>
    <t xml:space="preserve">  Source       - trade site, chat, in-game tab, etc. (optional)</t>
  </si>
  <si>
    <t xml:space="preserve">  Notes        - anything extra (optional)</t>
  </si>
  <si>
    <t xml:space="preserve">Summary columns:</t>
  </si>
  <si>
    <t xml:space="preserve">  Min / Avg / Median / Max / Std Dev of per-unit price</t>
  </si>
  <si>
    <t xml:space="preserve">  Weighted Avg = total spend / total qty (more robust against outliers)</t>
  </si>
  <si>
    <t xml:space="preserve">  Last Seen     = most recent date observed for that item</t>
  </si>
  <si>
    <t xml:space="preserve">Stack size matters:</t>
  </si>
  <si>
    <t xml:space="preserve">  Bulk stacks often carry a premium. Example from initial data:</t>
  </si>
  <si>
    <t xml:space="preserve">  Flame Elementium x1 averages ~33/unit, but the x5 bundle was 41.6/unit.</t>
  </si>
  <si>
    <t xml:space="preserve">  Flame Sand x20 averaged 0.19/unit vs x60 averaging 0.18/unit.</t>
  </si>
  <si>
    <t xml:space="preserve">  If you see consistent stack-size premiums, consider splitting the item</t>
  </si>
  <si>
    <t xml:space="preserve">  name e.g. 'Flame Sand (x20)' vs 'Flame Sand (x60)' to track separately.</t>
  </si>
  <si>
    <t xml:space="preserve">Date</t>
  </si>
  <si>
    <t xml:space="preserve">Item</t>
  </si>
  <si>
    <t xml:space="preserve">Qty</t>
  </si>
  <si>
    <t xml:space="preserve">Total Price</t>
  </si>
  <si>
    <t xml:space="preserve">Per Unit</t>
  </si>
  <si>
    <t xml:space="preserve">Source</t>
  </si>
  <si>
    <t xml:space="preserve">Notes</t>
  </si>
  <si>
    <t xml:space="preserve">Flame Sand</t>
  </si>
  <si>
    <t xml:space="preserve">Netherrealm Resonance</t>
  </si>
  <si>
    <t xml:space="preserve">Flame Elementium</t>
  </si>
  <si>
    <t xml:space="preserve">Energy Cores</t>
  </si>
  <si>
    <t xml:space="preserve">Transcendence Wedge (magic)</t>
  </si>
  <si>
    <t xml:space="preserve">Transcendence Wedge (rare)</t>
  </si>
  <si>
    <t xml:space="preserve">Ultimate Ember</t>
  </si>
  <si>
    <t xml:space="preserve"># Listings</t>
  </si>
  <si>
    <t xml:space="preserve">Min / unit</t>
  </si>
  <si>
    <t xml:space="preserve">Avg / unit</t>
  </si>
  <si>
    <t xml:space="preserve">Median / unit</t>
  </si>
  <si>
    <t xml:space="preserve">Max / unit</t>
  </si>
  <si>
    <t xml:space="preserve">Std Dev</t>
  </si>
  <si>
    <t xml:space="preserve">Total Qty</t>
  </si>
  <si>
    <t xml:space="preserve">Total Spend</t>
  </si>
  <si>
    <t xml:space="preserve">Weighted Avg</t>
  </si>
  <si>
    <t xml:space="preserve">Last Seen</t>
  </si>
  <si>
    <t xml:space="preserve">Netherrealm Essence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</si>
</sst>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istings" displayName="Listings" ref="A1:G73" headerRowCount="1" totalsRowCount="0" totalsRowShown="0">
  <autoFilter ref="A1:G73"/>
  <tableColumns count="7">
    <tableColumn id="1" name="Date"/>
    <tableColumn id="2" name="Item"/>
    <tableColumn id="3" name="Qty"/>
    <tableColumn id="4" name="Total Price"/>
    <tableColumn id="5" name="Per Unit"/>
    <tableColumn id="6" name="Source"/>
    <tableColumn id="7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3" t="s">
        <v>9</v>
      </c>
    </row>
    <row r="12" customFormat="false" ht="15" hidden="false" customHeight="true" outlineLevel="0" collapsed="false">
      <c r="A12" s="3"/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 t="s">
        <v>17</v>
      </c>
    </row>
    <row r="22" customFormat="false" ht="15" hidden="false" customHeight="true" outlineLevel="0" collapsed="false">
      <c r="A22" s="3" t="s">
        <v>18</v>
      </c>
    </row>
    <row r="23" customFormat="false" ht="15" hidden="false" customHeight="true" outlineLevel="0" collapsed="false">
      <c r="A23" s="3" t="s">
        <v>19</v>
      </c>
    </row>
    <row r="24" customFormat="false" ht="15" hidden="false" customHeight="true" outlineLevel="0" collapsed="false">
      <c r="A24" s="3" t="s">
        <v>20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/>
    </row>
    <row r="31" customFormat="false" ht="15" hidden="false" customHeight="true" outlineLevel="0" collapsed="false">
      <c r="A31" s="4" t="s">
        <v>25</v>
      </c>
    </row>
    <row r="32" customFormat="false" ht="15" hidden="false" customHeight="true" outlineLevel="0" collapsed="false">
      <c r="A32" s="3" t="s">
        <v>26</v>
      </c>
    </row>
    <row r="33" customFormat="false" ht="15" hidden="false" customHeight="true" outlineLevel="0" collapsed="false">
      <c r="A33" s="3" t="s">
        <v>27</v>
      </c>
    </row>
    <row r="34" customFormat="false" ht="15" hidden="false" customHeight="true" outlineLevel="0" collapsed="false">
      <c r="A34" s="3" t="s">
        <v>28</v>
      </c>
    </row>
    <row r="35" customFormat="false" ht="15" hidden="false" customHeight="true" outlineLevel="0" collapsed="false">
      <c r="A35" s="3" t="s">
        <v>29</v>
      </c>
    </row>
    <row r="36" customFormat="false" ht="15" hidden="false" customHeight="true" outlineLevel="0" collapsed="false">
      <c r="A36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8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28"/>
  </cols>
  <sheetData>
    <row r="1" customFormat="false" ht="15" hidden="false" customHeight="true" outlineLevel="0" collapsed="false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customFormat="false" ht="15" hidden="false" customHeight="true" outlineLevel="0" collapsed="false">
      <c r="A2" s="6" t="n">
        <v>46128</v>
      </c>
      <c r="B2" s="3" t="s">
        <v>38</v>
      </c>
      <c r="C2" s="3" t="n">
        <v>20</v>
      </c>
      <c r="D2" s="3" t="n">
        <v>5</v>
      </c>
      <c r="E2" s="7" t="n">
        <f aca="false">D2/C2</f>
        <v>0.25</v>
      </c>
      <c r="F2" s="3"/>
      <c r="G2" s="3"/>
    </row>
    <row r="3" customFormat="false" ht="15" hidden="false" customHeight="true" outlineLevel="0" collapsed="false">
      <c r="A3" s="6" t="n">
        <v>46128</v>
      </c>
      <c r="B3" s="3" t="s">
        <v>38</v>
      </c>
      <c r="C3" s="3" t="n">
        <v>20</v>
      </c>
      <c r="D3" s="3" t="n">
        <v>4</v>
      </c>
      <c r="E3" s="7" t="n">
        <f aca="false">D3/C3</f>
        <v>0.2</v>
      </c>
      <c r="F3" s="3"/>
      <c r="G3" s="3"/>
    </row>
    <row r="4" customFormat="false" ht="15" hidden="false" customHeight="true" outlineLevel="0" collapsed="false">
      <c r="A4" s="6" t="n">
        <v>46128</v>
      </c>
      <c r="B4" s="3" t="s">
        <v>38</v>
      </c>
      <c r="C4" s="3" t="n">
        <v>20</v>
      </c>
      <c r="D4" s="3" t="n">
        <v>3</v>
      </c>
      <c r="E4" s="7" t="n">
        <f aca="false">D4/C4</f>
        <v>0.15</v>
      </c>
      <c r="F4" s="3"/>
      <c r="G4" s="3"/>
    </row>
    <row r="5" customFormat="false" ht="15" hidden="false" customHeight="true" outlineLevel="0" collapsed="false">
      <c r="A5" s="6" t="n">
        <v>46128</v>
      </c>
      <c r="B5" s="3" t="s">
        <v>38</v>
      </c>
      <c r="C5" s="3" t="n">
        <v>20</v>
      </c>
      <c r="D5" s="3" t="n">
        <v>5</v>
      </c>
      <c r="E5" s="7" t="n">
        <f aca="false">D5/C5</f>
        <v>0.25</v>
      </c>
      <c r="F5" s="3"/>
      <c r="G5" s="3"/>
    </row>
    <row r="6" customFormat="false" ht="15" hidden="false" customHeight="true" outlineLevel="0" collapsed="false">
      <c r="A6" s="6" t="n">
        <v>46128</v>
      </c>
      <c r="B6" s="3" t="s">
        <v>38</v>
      </c>
      <c r="C6" s="3" t="n">
        <v>20</v>
      </c>
      <c r="D6" s="3" t="n">
        <v>2</v>
      </c>
      <c r="E6" s="7" t="n">
        <f aca="false">D6/C6</f>
        <v>0.1</v>
      </c>
      <c r="F6" s="3"/>
      <c r="G6" s="3"/>
    </row>
    <row r="7" customFormat="false" ht="15" hidden="false" customHeight="true" outlineLevel="0" collapsed="false">
      <c r="A7" s="6" t="n">
        <v>46128</v>
      </c>
      <c r="B7" s="3" t="s">
        <v>38</v>
      </c>
      <c r="C7" s="3" t="n">
        <v>60</v>
      </c>
      <c r="D7" s="3" t="n">
        <v>13</v>
      </c>
      <c r="E7" s="7" t="n">
        <f aca="false">D7/C7</f>
        <v>0.216666666666667</v>
      </c>
      <c r="F7" s="3"/>
      <c r="G7" s="3"/>
    </row>
    <row r="8" customFormat="false" ht="15" hidden="false" customHeight="true" outlineLevel="0" collapsed="false">
      <c r="A8" s="6" t="n">
        <v>46128</v>
      </c>
      <c r="B8" s="3" t="s">
        <v>38</v>
      </c>
      <c r="C8" s="3" t="n">
        <v>60</v>
      </c>
      <c r="D8" s="3" t="n">
        <v>14</v>
      </c>
      <c r="E8" s="7" t="n">
        <f aca="false">D8/C8</f>
        <v>0.233333333333333</v>
      </c>
      <c r="F8" s="3"/>
      <c r="G8" s="3"/>
    </row>
    <row r="9" customFormat="false" ht="15" hidden="false" customHeight="true" outlineLevel="0" collapsed="false">
      <c r="A9" s="6" t="n">
        <v>46128</v>
      </c>
      <c r="B9" s="3" t="s">
        <v>38</v>
      </c>
      <c r="C9" s="3" t="n">
        <v>60</v>
      </c>
      <c r="D9" s="3" t="n">
        <v>9</v>
      </c>
      <c r="E9" s="7" t="n">
        <f aca="false">D9/C9</f>
        <v>0.15</v>
      </c>
      <c r="F9" s="3"/>
      <c r="G9" s="3"/>
    </row>
    <row r="10" customFormat="false" ht="15" hidden="false" customHeight="true" outlineLevel="0" collapsed="false">
      <c r="A10" s="6" t="n">
        <v>46128</v>
      </c>
      <c r="B10" s="3" t="s">
        <v>38</v>
      </c>
      <c r="C10" s="3" t="n">
        <v>60</v>
      </c>
      <c r="D10" s="3" t="n">
        <v>9</v>
      </c>
      <c r="E10" s="7" t="n">
        <f aca="false">D10/C10</f>
        <v>0.15</v>
      </c>
      <c r="F10" s="3"/>
      <c r="G10" s="3"/>
    </row>
    <row r="11" customFormat="false" ht="15" hidden="false" customHeight="true" outlineLevel="0" collapsed="false">
      <c r="A11" s="6" t="n">
        <v>46128</v>
      </c>
      <c r="B11" s="3" t="s">
        <v>39</v>
      </c>
      <c r="C11" s="3" t="n">
        <v>100</v>
      </c>
      <c r="D11" s="3" t="n">
        <v>733</v>
      </c>
      <c r="E11" s="7" t="n">
        <f aca="false">D11/C11</f>
        <v>7.33</v>
      </c>
      <c r="F11" s="3"/>
      <c r="G11" s="3"/>
    </row>
    <row r="12" customFormat="false" ht="15" hidden="false" customHeight="true" outlineLevel="0" collapsed="false">
      <c r="A12" s="6" t="n">
        <v>46128</v>
      </c>
      <c r="B12" s="3" t="s">
        <v>39</v>
      </c>
      <c r="C12" s="3" t="n">
        <v>10</v>
      </c>
      <c r="D12" s="3" t="n">
        <v>59</v>
      </c>
      <c r="E12" s="7" t="n">
        <f aca="false">D12/C12</f>
        <v>5.9</v>
      </c>
      <c r="F12" s="3"/>
      <c r="G12" s="3"/>
    </row>
    <row r="13" customFormat="false" ht="15" hidden="false" customHeight="true" outlineLevel="0" collapsed="false">
      <c r="A13" s="6" t="n">
        <v>46128</v>
      </c>
      <c r="B13" s="3" t="s">
        <v>39</v>
      </c>
      <c r="C13" s="3" t="n">
        <v>20</v>
      </c>
      <c r="D13" s="3" t="n">
        <v>175</v>
      </c>
      <c r="E13" s="7" t="n">
        <f aca="false">D13/C13</f>
        <v>8.75</v>
      </c>
      <c r="F13" s="3"/>
      <c r="G13" s="3"/>
    </row>
    <row r="14" customFormat="false" ht="15" hidden="false" customHeight="true" outlineLevel="0" collapsed="false">
      <c r="A14" s="6" t="n">
        <v>46128</v>
      </c>
      <c r="B14" s="3" t="s">
        <v>39</v>
      </c>
      <c r="C14" s="3" t="n">
        <v>20</v>
      </c>
      <c r="D14" s="3" t="n">
        <v>66</v>
      </c>
      <c r="E14" s="7" t="n">
        <f aca="false">D14/C14</f>
        <v>3.3</v>
      </c>
      <c r="F14" s="3"/>
      <c r="G14" s="3"/>
    </row>
    <row r="15" customFormat="false" ht="15" hidden="false" customHeight="true" outlineLevel="0" collapsed="false">
      <c r="A15" s="6" t="n">
        <v>46128</v>
      </c>
      <c r="B15" s="3" t="s">
        <v>39</v>
      </c>
      <c r="C15" s="3" t="n">
        <v>20</v>
      </c>
      <c r="D15" s="3" t="n">
        <v>94</v>
      </c>
      <c r="E15" s="7" t="n">
        <f aca="false">D15/C15</f>
        <v>4.7</v>
      </c>
      <c r="F15" s="3"/>
      <c r="G15" s="3"/>
    </row>
    <row r="16" customFormat="false" ht="15" hidden="false" customHeight="true" outlineLevel="0" collapsed="false">
      <c r="A16" s="6" t="n">
        <v>46128</v>
      </c>
      <c r="B16" s="3" t="s">
        <v>39</v>
      </c>
      <c r="C16" s="3" t="n">
        <v>20</v>
      </c>
      <c r="D16" s="3" t="n">
        <v>172</v>
      </c>
      <c r="E16" s="7" t="n">
        <f aca="false">D16/C16</f>
        <v>8.6</v>
      </c>
      <c r="F16" s="3"/>
      <c r="G16" s="3"/>
    </row>
    <row r="17" customFormat="false" ht="15" hidden="false" customHeight="true" outlineLevel="0" collapsed="false">
      <c r="A17" s="6" t="n">
        <v>46128</v>
      </c>
      <c r="B17" s="3" t="s">
        <v>39</v>
      </c>
      <c r="C17" s="3" t="n">
        <v>20</v>
      </c>
      <c r="D17" s="3" t="n">
        <v>161</v>
      </c>
      <c r="E17" s="7" t="n">
        <f aca="false">D17/C17</f>
        <v>8.05</v>
      </c>
      <c r="F17" s="3"/>
      <c r="G17" s="3"/>
    </row>
    <row r="18" customFormat="false" ht="15" hidden="false" customHeight="true" outlineLevel="0" collapsed="false">
      <c r="A18" s="6" t="n">
        <v>46128</v>
      </c>
      <c r="B18" s="3" t="s">
        <v>39</v>
      </c>
      <c r="C18" s="3" t="n">
        <v>20</v>
      </c>
      <c r="D18" s="3" t="n">
        <v>70</v>
      </c>
      <c r="E18" s="7" t="n">
        <f aca="false">D18/C18</f>
        <v>3.5</v>
      </c>
      <c r="F18" s="3"/>
      <c r="G18" s="3"/>
    </row>
    <row r="19" customFormat="false" ht="15" hidden="false" customHeight="true" outlineLevel="0" collapsed="false">
      <c r="A19" s="6" t="n">
        <v>46128</v>
      </c>
      <c r="B19" s="3" t="s">
        <v>39</v>
      </c>
      <c r="C19" s="3" t="n">
        <v>10</v>
      </c>
      <c r="D19" s="3" t="n">
        <v>49</v>
      </c>
      <c r="E19" s="7" t="n">
        <f aca="false">D19/C19</f>
        <v>4.9</v>
      </c>
      <c r="F19" s="3"/>
      <c r="G19" s="3"/>
    </row>
    <row r="20" customFormat="false" ht="15" hidden="false" customHeight="true" outlineLevel="0" collapsed="false">
      <c r="A20" s="6" t="n">
        <v>46128</v>
      </c>
      <c r="B20" s="3" t="s">
        <v>39</v>
      </c>
      <c r="C20" s="3" t="n">
        <v>10</v>
      </c>
      <c r="D20" s="3" t="n">
        <v>42</v>
      </c>
      <c r="E20" s="7" t="n">
        <f aca="false">D20/C20</f>
        <v>4.2</v>
      </c>
      <c r="F20" s="3"/>
      <c r="G20" s="3"/>
    </row>
    <row r="21" customFormat="false" ht="15" hidden="false" customHeight="true" outlineLevel="0" collapsed="false">
      <c r="A21" s="6" t="n">
        <v>46128</v>
      </c>
      <c r="B21" s="3" t="s">
        <v>39</v>
      </c>
      <c r="C21" s="3" t="n">
        <v>10</v>
      </c>
      <c r="D21" s="3" t="n">
        <v>55</v>
      </c>
      <c r="E21" s="7" t="n">
        <f aca="false">D21/C21</f>
        <v>5.5</v>
      </c>
      <c r="F21" s="3"/>
      <c r="G21" s="3"/>
    </row>
    <row r="22" customFormat="false" ht="15" hidden="false" customHeight="true" outlineLevel="0" collapsed="false">
      <c r="A22" s="6" t="n">
        <v>46128</v>
      </c>
      <c r="B22" s="3" t="s">
        <v>39</v>
      </c>
      <c r="C22" s="3" t="n">
        <v>10</v>
      </c>
      <c r="D22" s="3" t="n">
        <v>45</v>
      </c>
      <c r="E22" s="7" t="n">
        <f aca="false">D22/C22</f>
        <v>4.5</v>
      </c>
      <c r="F22" s="3"/>
      <c r="G22" s="3"/>
    </row>
    <row r="23" customFormat="false" ht="15" hidden="false" customHeight="true" outlineLevel="0" collapsed="false">
      <c r="A23" s="6" t="n">
        <v>46128</v>
      </c>
      <c r="B23" s="3" t="s">
        <v>39</v>
      </c>
      <c r="C23" s="3" t="n">
        <v>10</v>
      </c>
      <c r="D23" s="3" t="n">
        <v>89</v>
      </c>
      <c r="E23" s="7" t="n">
        <f aca="false">D23/C23</f>
        <v>8.9</v>
      </c>
      <c r="F23" s="3"/>
      <c r="G23" s="3"/>
    </row>
    <row r="24" customFormat="false" ht="15" hidden="false" customHeight="true" outlineLevel="0" collapsed="false">
      <c r="A24" s="6" t="n">
        <v>46128</v>
      </c>
      <c r="B24" s="3" t="s">
        <v>40</v>
      </c>
      <c r="C24" s="3" t="n">
        <v>1</v>
      </c>
      <c r="D24" s="3" t="n">
        <v>20</v>
      </c>
      <c r="E24" s="7" t="n">
        <f aca="false">D24/C24</f>
        <v>20</v>
      </c>
      <c r="F24" s="3"/>
      <c r="G24" s="3"/>
    </row>
    <row r="25" customFormat="false" ht="15" hidden="false" customHeight="true" outlineLevel="0" collapsed="false">
      <c r="A25" s="6" t="n">
        <v>46128</v>
      </c>
      <c r="B25" s="3" t="s">
        <v>40</v>
      </c>
      <c r="C25" s="3" t="n">
        <v>1</v>
      </c>
      <c r="D25" s="3" t="n">
        <v>43</v>
      </c>
      <c r="E25" s="7" t="n">
        <f aca="false">D25/C25</f>
        <v>43</v>
      </c>
      <c r="F25" s="3"/>
      <c r="G25" s="3"/>
    </row>
    <row r="26" customFormat="false" ht="15" hidden="false" customHeight="true" outlineLevel="0" collapsed="false">
      <c r="A26" s="6" t="n">
        <v>46128</v>
      </c>
      <c r="B26" s="3" t="s">
        <v>40</v>
      </c>
      <c r="C26" s="3" t="n">
        <v>1</v>
      </c>
      <c r="D26" s="3" t="n">
        <v>41</v>
      </c>
      <c r="E26" s="7" t="n">
        <f aca="false">D26/C26</f>
        <v>41</v>
      </c>
      <c r="F26" s="3"/>
      <c r="G26" s="3"/>
    </row>
    <row r="27" customFormat="false" ht="15" hidden="false" customHeight="true" outlineLevel="0" collapsed="false">
      <c r="A27" s="6" t="n">
        <v>46128</v>
      </c>
      <c r="B27" s="3" t="s">
        <v>40</v>
      </c>
      <c r="C27" s="3" t="n">
        <v>1</v>
      </c>
      <c r="D27" s="3" t="n">
        <v>27</v>
      </c>
      <c r="E27" s="7" t="n">
        <f aca="false">D27/C27</f>
        <v>27</v>
      </c>
      <c r="F27" s="3"/>
      <c r="G27" s="3"/>
    </row>
    <row r="28" customFormat="false" ht="15" hidden="false" customHeight="true" outlineLevel="0" collapsed="false">
      <c r="A28" s="6" t="n">
        <v>46128</v>
      </c>
      <c r="B28" s="3" t="s">
        <v>40</v>
      </c>
      <c r="C28" s="3" t="n">
        <v>1</v>
      </c>
      <c r="D28" s="3" t="n">
        <v>21</v>
      </c>
      <c r="E28" s="7" t="n">
        <f aca="false">D28/C28</f>
        <v>21</v>
      </c>
      <c r="F28" s="3"/>
      <c r="G28" s="3"/>
    </row>
    <row r="29" customFormat="false" ht="15" hidden="false" customHeight="true" outlineLevel="0" collapsed="false">
      <c r="A29" s="6" t="n">
        <v>46128</v>
      </c>
      <c r="B29" s="3" t="s">
        <v>40</v>
      </c>
      <c r="C29" s="3" t="n">
        <v>1</v>
      </c>
      <c r="D29" s="3" t="n">
        <v>47</v>
      </c>
      <c r="E29" s="7" t="n">
        <f aca="false">D29/C29</f>
        <v>47</v>
      </c>
      <c r="F29" s="3"/>
      <c r="G29" s="3"/>
    </row>
    <row r="30" customFormat="false" ht="15" hidden="false" customHeight="true" outlineLevel="0" collapsed="false">
      <c r="A30" s="6" t="n">
        <v>46128</v>
      </c>
      <c r="B30" s="3" t="s">
        <v>40</v>
      </c>
      <c r="C30" s="3" t="n">
        <v>5</v>
      </c>
      <c r="D30" s="3" t="n">
        <v>208</v>
      </c>
      <c r="E30" s="7" t="n">
        <f aca="false">D30/C30</f>
        <v>41.6</v>
      </c>
      <c r="F30" s="3"/>
      <c r="G30" s="3"/>
    </row>
    <row r="31" customFormat="false" ht="15" hidden="false" customHeight="true" outlineLevel="0" collapsed="false">
      <c r="A31" s="6" t="n">
        <v>46128</v>
      </c>
      <c r="B31" s="3" t="s">
        <v>41</v>
      </c>
      <c r="C31" s="3" t="n">
        <v>10</v>
      </c>
      <c r="D31" s="3" t="n">
        <v>76</v>
      </c>
      <c r="E31" s="7" t="n">
        <f aca="false">D31/C31</f>
        <v>7.6</v>
      </c>
      <c r="F31" s="3"/>
      <c r="G31" s="3"/>
    </row>
    <row r="32" customFormat="false" ht="15" hidden="false" customHeight="true" outlineLevel="0" collapsed="false">
      <c r="A32" s="6" t="n">
        <v>46128</v>
      </c>
      <c r="B32" s="3" t="s">
        <v>41</v>
      </c>
      <c r="C32" s="3" t="n">
        <v>10</v>
      </c>
      <c r="D32" s="3" t="n">
        <v>44</v>
      </c>
      <c r="E32" s="7" t="n">
        <f aca="false">D32/C32</f>
        <v>4.4</v>
      </c>
      <c r="F32" s="3"/>
      <c r="G32" s="3"/>
    </row>
    <row r="33" customFormat="false" ht="15" hidden="false" customHeight="true" outlineLevel="0" collapsed="false">
      <c r="A33" s="6" t="n">
        <v>46128</v>
      </c>
      <c r="B33" s="3" t="s">
        <v>41</v>
      </c>
      <c r="C33" s="3" t="n">
        <v>10</v>
      </c>
      <c r="D33" s="3" t="n">
        <v>53</v>
      </c>
      <c r="E33" s="7" t="n">
        <f aca="false">D33/C33</f>
        <v>5.3</v>
      </c>
      <c r="F33" s="3"/>
      <c r="G33" s="3"/>
    </row>
    <row r="34" customFormat="false" ht="15" hidden="false" customHeight="true" outlineLevel="0" collapsed="false">
      <c r="A34" s="6" t="n">
        <v>46128</v>
      </c>
      <c r="B34" s="3" t="s">
        <v>41</v>
      </c>
      <c r="C34" s="3" t="n">
        <v>10</v>
      </c>
      <c r="D34" s="3" t="n">
        <v>84</v>
      </c>
      <c r="E34" s="7" t="n">
        <f aca="false">D34/C34</f>
        <v>8.4</v>
      </c>
      <c r="F34" s="3"/>
      <c r="G34" s="3"/>
    </row>
    <row r="35" customFormat="false" ht="15" hidden="false" customHeight="true" outlineLevel="0" collapsed="false">
      <c r="A35" s="6" t="n">
        <v>46128</v>
      </c>
      <c r="B35" s="3" t="s">
        <v>41</v>
      </c>
      <c r="C35" s="3" t="n">
        <v>20</v>
      </c>
      <c r="D35" s="3" t="n">
        <v>123</v>
      </c>
      <c r="E35" s="7" t="n">
        <f aca="false">D35/C35</f>
        <v>6.15</v>
      </c>
      <c r="F35" s="3"/>
      <c r="G35" s="3"/>
    </row>
    <row r="36" customFormat="false" ht="15" hidden="false" customHeight="true" outlineLevel="0" collapsed="false">
      <c r="A36" s="6" t="n">
        <v>46128</v>
      </c>
      <c r="B36" s="3" t="s">
        <v>41</v>
      </c>
      <c r="C36" s="3" t="n">
        <v>20</v>
      </c>
      <c r="D36" s="3" t="n">
        <v>115</v>
      </c>
      <c r="E36" s="7" t="n">
        <f aca="false">D36/C36</f>
        <v>5.75</v>
      </c>
      <c r="F36" s="3"/>
      <c r="G36" s="3"/>
    </row>
    <row r="37" customFormat="false" ht="15" hidden="false" customHeight="true" outlineLevel="0" collapsed="false">
      <c r="A37" s="6" t="n">
        <v>46128</v>
      </c>
      <c r="B37" s="3" t="s">
        <v>41</v>
      </c>
      <c r="C37" s="3" t="n">
        <v>20</v>
      </c>
      <c r="D37" s="3" t="n">
        <v>168</v>
      </c>
      <c r="E37" s="7" t="n">
        <f aca="false">D37/C37</f>
        <v>8.4</v>
      </c>
      <c r="F37" s="3"/>
      <c r="G37" s="3"/>
    </row>
    <row r="38" customFormat="false" ht="15" hidden="false" customHeight="true" outlineLevel="0" collapsed="false">
      <c r="A38" s="6" t="n">
        <v>46128</v>
      </c>
      <c r="B38" s="3" t="s">
        <v>41</v>
      </c>
      <c r="C38" s="3" t="n">
        <v>20</v>
      </c>
      <c r="D38" s="3" t="n">
        <v>132</v>
      </c>
      <c r="E38" s="7" t="n">
        <f aca="false">D38/C38</f>
        <v>6.6</v>
      </c>
      <c r="F38" s="3"/>
      <c r="G38" s="3"/>
    </row>
    <row r="39" customFormat="false" ht="15" hidden="false" customHeight="true" outlineLevel="0" collapsed="false">
      <c r="A39" s="6" t="n">
        <v>46128</v>
      </c>
      <c r="B39" s="3" t="s">
        <v>42</v>
      </c>
      <c r="C39" s="3" t="n">
        <v>20</v>
      </c>
      <c r="D39" s="3" t="n">
        <v>7</v>
      </c>
      <c r="E39" s="7" t="n">
        <f aca="false">D39/C39</f>
        <v>0.35</v>
      </c>
      <c r="F39" s="3"/>
      <c r="G39" s="3"/>
    </row>
    <row r="40" customFormat="false" ht="15" hidden="false" customHeight="true" outlineLevel="0" collapsed="false">
      <c r="A40" s="6" t="n">
        <v>46128</v>
      </c>
      <c r="B40" s="3" t="s">
        <v>42</v>
      </c>
      <c r="C40" s="3" t="n">
        <v>20</v>
      </c>
      <c r="D40" s="3" t="n">
        <v>20</v>
      </c>
      <c r="E40" s="7" t="n">
        <f aca="false">D40/C40</f>
        <v>1</v>
      </c>
      <c r="F40" s="3"/>
      <c r="G40" s="3"/>
    </row>
    <row r="41" customFormat="false" ht="15" hidden="false" customHeight="true" outlineLevel="0" collapsed="false">
      <c r="A41" s="6" t="n">
        <v>46128</v>
      </c>
      <c r="B41" s="3" t="s">
        <v>42</v>
      </c>
      <c r="C41" s="3" t="n">
        <v>20</v>
      </c>
      <c r="D41" s="3" t="n">
        <v>18</v>
      </c>
      <c r="E41" s="7" t="n">
        <f aca="false">D41/C41</f>
        <v>0.9</v>
      </c>
      <c r="F41" s="3"/>
      <c r="G41" s="3"/>
    </row>
    <row r="42" customFormat="false" ht="15" hidden="false" customHeight="true" outlineLevel="0" collapsed="false">
      <c r="A42" s="6" t="n">
        <v>46128</v>
      </c>
      <c r="B42" s="3" t="s">
        <v>42</v>
      </c>
      <c r="C42" s="3" t="n">
        <v>20</v>
      </c>
      <c r="D42" s="3" t="n">
        <v>14</v>
      </c>
      <c r="E42" s="7" t="n">
        <f aca="false">D42/C42</f>
        <v>0.7</v>
      </c>
      <c r="F42" s="3"/>
      <c r="G42" s="3"/>
    </row>
    <row r="43" customFormat="false" ht="15" hidden="false" customHeight="true" outlineLevel="0" collapsed="false">
      <c r="A43" s="6" t="n">
        <v>46128</v>
      </c>
      <c r="B43" s="3" t="s">
        <v>43</v>
      </c>
      <c r="C43" s="3" t="n">
        <v>20</v>
      </c>
      <c r="D43" s="3" t="n">
        <v>168</v>
      </c>
      <c r="E43" s="7" t="n">
        <f aca="false">D43/C43</f>
        <v>8.4</v>
      </c>
      <c r="F43" s="3"/>
      <c r="G43" s="3"/>
    </row>
    <row r="44" customFormat="false" ht="15" hidden="false" customHeight="true" outlineLevel="0" collapsed="false">
      <c r="A44" s="6" t="n">
        <v>46128</v>
      </c>
      <c r="B44" s="3" t="s">
        <v>43</v>
      </c>
      <c r="C44" s="3" t="n">
        <v>20</v>
      </c>
      <c r="D44" s="3" t="n">
        <v>79</v>
      </c>
      <c r="E44" s="7" t="n">
        <f aca="false">D44/C44</f>
        <v>3.95</v>
      </c>
      <c r="F44" s="3"/>
      <c r="G44" s="3"/>
    </row>
    <row r="45" customFormat="false" ht="15" hidden="false" customHeight="true" outlineLevel="0" collapsed="false">
      <c r="A45" s="6" t="n">
        <v>46128</v>
      </c>
      <c r="B45" s="3" t="s">
        <v>44</v>
      </c>
      <c r="C45" s="3" t="n">
        <v>1</v>
      </c>
      <c r="D45" s="3" t="n">
        <v>941</v>
      </c>
      <c r="E45" s="7" t="n">
        <f aca="false">D45/C45</f>
        <v>941</v>
      </c>
      <c r="F45" s="3"/>
      <c r="G45" s="3"/>
    </row>
    <row r="46" customFormat="false" ht="15" hidden="false" customHeight="false" outlineLevel="0" collapsed="false">
      <c r="A46" s="8" t="n">
        <v>46128</v>
      </c>
      <c r="B46" s="1" t="s">
        <v>42</v>
      </c>
      <c r="C46" s="1" t="n">
        <v>20</v>
      </c>
      <c r="D46" s="1" t="n">
        <v>10</v>
      </c>
      <c r="E46" s="9" t="n">
        <f aca="false">D46/C46</f>
        <v>0.5</v>
      </c>
    </row>
    <row r="47" customFormat="false" ht="15" hidden="false" customHeight="false" outlineLevel="0" collapsed="false">
      <c r="A47" s="8" t="n">
        <v>46128</v>
      </c>
      <c r="B47" s="1" t="s">
        <v>39</v>
      </c>
      <c r="C47" s="1" t="n">
        <v>10</v>
      </c>
      <c r="D47" s="1" t="n">
        <v>46</v>
      </c>
      <c r="E47" s="9" t="n">
        <f aca="false">D47/C47</f>
        <v>4.6</v>
      </c>
    </row>
    <row r="48" customFormat="false" ht="15" hidden="false" customHeight="false" outlineLevel="0" collapsed="false">
      <c r="A48" s="8" t="n">
        <v>46128</v>
      </c>
      <c r="B48" s="1" t="s">
        <v>39</v>
      </c>
      <c r="C48" s="1" t="n">
        <v>20</v>
      </c>
      <c r="D48" s="1" t="n">
        <v>160</v>
      </c>
      <c r="E48" s="9" t="n">
        <f aca="false">D48/C48</f>
        <v>8</v>
      </c>
    </row>
    <row r="49" customFormat="false" ht="15" hidden="false" customHeight="false" outlineLevel="0" collapsed="false">
      <c r="A49" s="8" t="n">
        <v>46128</v>
      </c>
      <c r="B49" s="1" t="s">
        <v>38</v>
      </c>
      <c r="C49" s="1" t="n">
        <v>20</v>
      </c>
      <c r="D49" s="1" t="n">
        <v>3</v>
      </c>
      <c r="E49" s="9" t="n">
        <f aca="false">D49/C49</f>
        <v>0.15</v>
      </c>
    </row>
    <row r="50" customFormat="false" ht="15" hidden="false" customHeight="false" outlineLevel="0" collapsed="false">
      <c r="A50" s="8" t="n">
        <v>46128</v>
      </c>
      <c r="B50" s="1" t="s">
        <v>38</v>
      </c>
      <c r="C50" s="1" t="n">
        <v>60</v>
      </c>
      <c r="D50" s="1" t="n">
        <v>7</v>
      </c>
      <c r="E50" s="9" t="n">
        <f aca="false">D50/C50</f>
        <v>0.116666666666667</v>
      </c>
    </row>
    <row r="51" customFormat="false" ht="15" hidden="false" customHeight="false" outlineLevel="0" collapsed="false">
      <c r="A51" s="8" t="n">
        <v>46128</v>
      </c>
      <c r="B51" s="1" t="s">
        <v>43</v>
      </c>
      <c r="C51" s="1" t="n">
        <v>20</v>
      </c>
      <c r="D51" s="1" t="n">
        <v>83</v>
      </c>
      <c r="E51" s="9" t="n">
        <f aca="false">D51/C51</f>
        <v>4.15</v>
      </c>
    </row>
    <row r="52" customFormat="false" ht="15" hidden="false" customHeight="false" outlineLevel="0" collapsed="false">
      <c r="A52" s="8" t="n">
        <v>46128</v>
      </c>
      <c r="B52" s="1" t="s">
        <v>40</v>
      </c>
      <c r="C52" s="1" t="n">
        <v>1</v>
      </c>
      <c r="D52" s="1" t="n">
        <v>35</v>
      </c>
      <c r="E52" s="9" t="n">
        <f aca="false">D52/C52</f>
        <v>35</v>
      </c>
    </row>
    <row r="53" customFormat="false" ht="15" hidden="false" customHeight="false" outlineLevel="0" collapsed="false">
      <c r="A53" s="8" t="n">
        <v>46128</v>
      </c>
      <c r="B53" s="1" t="s">
        <v>40</v>
      </c>
      <c r="C53" s="1" t="n">
        <v>5</v>
      </c>
      <c r="D53" s="1" t="n">
        <v>260</v>
      </c>
      <c r="E53" s="9" t="n">
        <f aca="false">D53/C53</f>
        <v>52</v>
      </c>
    </row>
    <row r="54" customFormat="false" ht="15" hidden="false" customHeight="false" outlineLevel="0" collapsed="false">
      <c r="A54" s="8" t="n">
        <v>46128</v>
      </c>
      <c r="B54" s="1" t="s">
        <v>38</v>
      </c>
      <c r="C54" s="1" t="n">
        <v>20</v>
      </c>
      <c r="D54" s="1" t="n">
        <v>4</v>
      </c>
      <c r="E54" s="9" t="n">
        <f aca="false">D54/C54</f>
        <v>0.2</v>
      </c>
    </row>
    <row r="55" customFormat="false" ht="15" hidden="false" customHeight="false" outlineLevel="0" collapsed="false">
      <c r="A55" s="8" t="n">
        <v>46128</v>
      </c>
      <c r="B55" s="1" t="s">
        <v>44</v>
      </c>
      <c r="C55" s="1" t="n">
        <v>1</v>
      </c>
      <c r="D55" s="1" t="n">
        <v>1223</v>
      </c>
      <c r="E55" s="9" t="n">
        <f aca="false">D55/C55</f>
        <v>1223</v>
      </c>
    </row>
    <row r="56" customFormat="false" ht="15" hidden="false" customHeight="false" outlineLevel="0" collapsed="false">
      <c r="A56" s="8" t="n">
        <v>46128</v>
      </c>
      <c r="B56" s="1" t="s">
        <v>39</v>
      </c>
      <c r="C56" s="1" t="n">
        <v>10</v>
      </c>
      <c r="D56" s="1" t="n">
        <v>43</v>
      </c>
      <c r="E56" s="9" t="n">
        <f aca="false">D56/C56</f>
        <v>4.3</v>
      </c>
    </row>
    <row r="57" customFormat="false" ht="15" hidden="false" customHeight="false" outlineLevel="0" collapsed="false">
      <c r="A57" s="8" t="n">
        <v>46128</v>
      </c>
      <c r="B57" s="1" t="s">
        <v>39</v>
      </c>
      <c r="C57" s="1" t="n">
        <v>100</v>
      </c>
      <c r="D57" s="1" t="n">
        <v>796</v>
      </c>
      <c r="E57" s="9" t="n">
        <f aca="false">D57/C57</f>
        <v>7.96</v>
      </c>
    </row>
    <row r="58" customFormat="false" ht="15" hidden="false" customHeight="false" outlineLevel="0" collapsed="false">
      <c r="A58" s="8" t="n">
        <v>46128</v>
      </c>
      <c r="B58" s="1" t="s">
        <v>39</v>
      </c>
      <c r="C58" s="1" t="n">
        <v>20</v>
      </c>
      <c r="D58" s="1" t="n">
        <v>169</v>
      </c>
      <c r="E58" s="9" t="n">
        <f aca="false">D58/C58</f>
        <v>8.45</v>
      </c>
    </row>
    <row r="59" customFormat="false" ht="15" hidden="false" customHeight="false" outlineLevel="0" collapsed="false">
      <c r="A59" s="8" t="n">
        <v>46128</v>
      </c>
      <c r="B59" s="1" t="s">
        <v>39</v>
      </c>
      <c r="C59" s="1" t="n">
        <v>10</v>
      </c>
      <c r="D59" s="1" t="n">
        <v>44</v>
      </c>
      <c r="E59" s="9" t="n">
        <f aca="false">D59/C59</f>
        <v>4.4</v>
      </c>
    </row>
    <row r="60" customFormat="false" ht="15" hidden="false" customHeight="false" outlineLevel="0" collapsed="false">
      <c r="A60" s="8" t="n">
        <v>46128</v>
      </c>
      <c r="B60" s="1" t="s">
        <v>42</v>
      </c>
      <c r="C60" s="1" t="n">
        <v>20</v>
      </c>
      <c r="D60" s="1" t="n">
        <v>7</v>
      </c>
      <c r="E60" s="9" t="n">
        <f aca="false">D60/C60</f>
        <v>0.35</v>
      </c>
    </row>
    <row r="61" customFormat="false" ht="15" hidden="false" customHeight="false" outlineLevel="0" collapsed="false">
      <c r="A61" s="8" t="n">
        <v>46128</v>
      </c>
      <c r="B61" s="1" t="s">
        <v>41</v>
      </c>
      <c r="C61" s="1" t="n">
        <v>10</v>
      </c>
      <c r="D61" s="1" t="n">
        <v>42</v>
      </c>
      <c r="E61" s="9" t="n">
        <f aca="false">D61/C61</f>
        <v>4.2</v>
      </c>
    </row>
    <row r="62" customFormat="false" ht="15" hidden="false" customHeight="false" outlineLevel="0" collapsed="false">
      <c r="A62" s="8" t="n">
        <v>46128</v>
      </c>
      <c r="B62" s="1" t="s">
        <v>38</v>
      </c>
      <c r="C62" s="1" t="n">
        <v>60</v>
      </c>
      <c r="D62" s="1" t="n">
        <v>7</v>
      </c>
      <c r="E62" s="9" t="n">
        <f aca="false">D62/C62</f>
        <v>0.116666666666667</v>
      </c>
    </row>
    <row r="63" customFormat="false" ht="15" hidden="false" customHeight="false" outlineLevel="0" collapsed="false">
      <c r="A63" s="8" t="n">
        <v>46128</v>
      </c>
      <c r="B63" s="1" t="s">
        <v>40</v>
      </c>
      <c r="C63" s="1" t="n">
        <v>1</v>
      </c>
      <c r="D63" s="1" t="n">
        <v>47</v>
      </c>
      <c r="E63" s="9" t="n">
        <f aca="false">D63/C63</f>
        <v>47</v>
      </c>
    </row>
    <row r="64" customFormat="false" ht="15" hidden="false" customHeight="false" outlineLevel="0" collapsed="false">
      <c r="A64" s="8" t="n">
        <v>46128</v>
      </c>
      <c r="B64" s="1" t="s">
        <v>40</v>
      </c>
      <c r="C64" s="1" t="n">
        <v>10</v>
      </c>
      <c r="D64" s="1" t="n">
        <v>386</v>
      </c>
      <c r="E64" s="9" t="n">
        <f aca="false">D64/C64</f>
        <v>38.6</v>
      </c>
    </row>
    <row r="65" customFormat="false" ht="15" hidden="false" customHeight="false" outlineLevel="0" collapsed="false">
      <c r="A65" s="8" t="n">
        <v>46128</v>
      </c>
      <c r="B65" s="1" t="s">
        <v>38</v>
      </c>
      <c r="C65" s="1" t="n">
        <v>20</v>
      </c>
      <c r="D65" s="1" t="n">
        <v>3</v>
      </c>
      <c r="E65" s="9" t="n">
        <f aca="false">D65/C65</f>
        <v>0.15</v>
      </c>
    </row>
    <row r="66" customFormat="false" ht="15" hidden="false" customHeight="false" outlineLevel="0" collapsed="false">
      <c r="A66" s="8" t="n">
        <v>46128</v>
      </c>
      <c r="B66" s="1" t="s">
        <v>38</v>
      </c>
      <c r="C66" s="1" t="n">
        <v>60</v>
      </c>
      <c r="D66" s="1" t="n">
        <v>12</v>
      </c>
      <c r="E66" s="9" t="n">
        <f aca="false">D66/C66</f>
        <v>0.2</v>
      </c>
    </row>
    <row r="67" customFormat="false" ht="15" hidden="false" customHeight="false" outlineLevel="0" collapsed="false">
      <c r="A67" s="8" t="n">
        <v>46128</v>
      </c>
      <c r="B67" s="1" t="s">
        <v>39</v>
      </c>
      <c r="C67" s="1" t="n">
        <v>10</v>
      </c>
      <c r="D67" s="1" t="n">
        <v>67</v>
      </c>
      <c r="E67" s="9" t="n">
        <f aca="false">D67/C67</f>
        <v>6.7</v>
      </c>
    </row>
    <row r="68" customFormat="false" ht="15" hidden="false" customHeight="false" outlineLevel="0" collapsed="false">
      <c r="A68" s="8" t="n">
        <v>46128</v>
      </c>
      <c r="B68" s="1" t="s">
        <v>39</v>
      </c>
      <c r="C68" s="1" t="n">
        <v>20</v>
      </c>
      <c r="D68" s="1" t="n">
        <v>76</v>
      </c>
      <c r="E68" s="9" t="n">
        <f aca="false">D68/C68</f>
        <v>3.8</v>
      </c>
    </row>
    <row r="69" customFormat="false" ht="15" hidden="false" customHeight="false" outlineLevel="0" collapsed="false">
      <c r="A69" s="8" t="n">
        <v>46128</v>
      </c>
      <c r="B69" s="1" t="s">
        <v>42</v>
      </c>
      <c r="C69" s="1" t="n">
        <v>20</v>
      </c>
      <c r="D69" s="1" t="n">
        <v>18</v>
      </c>
      <c r="E69" s="9" t="n">
        <f aca="false">D69/C69</f>
        <v>0.9</v>
      </c>
    </row>
    <row r="70" customFormat="false" ht="15" hidden="false" customHeight="false" outlineLevel="0" collapsed="false">
      <c r="A70" s="8" t="n">
        <v>46128</v>
      </c>
      <c r="B70" s="1" t="s">
        <v>41</v>
      </c>
      <c r="C70" s="1" t="n">
        <v>10</v>
      </c>
      <c r="D70" s="1" t="n">
        <v>36</v>
      </c>
      <c r="E70" s="9" t="n">
        <f aca="false">D70/C70</f>
        <v>3.6</v>
      </c>
    </row>
    <row r="71" customFormat="false" ht="15" hidden="false" customHeight="false" outlineLevel="0" collapsed="false">
      <c r="A71" s="8" t="n">
        <v>46128</v>
      </c>
      <c r="B71" s="1" t="s">
        <v>38</v>
      </c>
      <c r="C71" s="1" t="n">
        <v>20</v>
      </c>
      <c r="D71" s="1" t="n">
        <v>5</v>
      </c>
      <c r="E71" s="9" t="n">
        <f aca="false">D71/C71</f>
        <v>0.25</v>
      </c>
    </row>
    <row r="72" customFormat="false" ht="15" hidden="false" customHeight="false" outlineLevel="0" collapsed="false">
      <c r="A72" s="8" t="n">
        <v>46128</v>
      </c>
      <c r="B72" s="1" t="s">
        <v>40</v>
      </c>
      <c r="C72" s="1" t="n">
        <v>1</v>
      </c>
      <c r="D72" s="1" t="n">
        <v>58</v>
      </c>
      <c r="E72" s="9" t="n">
        <f aca="false">D72/C72</f>
        <v>58</v>
      </c>
    </row>
    <row r="73" customFormat="false" ht="15" hidden="false" customHeight="false" outlineLevel="0" collapsed="false">
      <c r="A73" s="8" t="n">
        <v>46128</v>
      </c>
      <c r="B73" s="1" t="s">
        <v>43</v>
      </c>
      <c r="C73" s="1" t="n">
        <v>20</v>
      </c>
      <c r="D73" s="1" t="n">
        <v>142</v>
      </c>
      <c r="E73" s="9" t="n">
        <f aca="false">D73/C73</f>
        <v>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1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0" min="9" style="1" width="13"/>
    <col collapsed="false" customWidth="true" hidden="false" outlineLevel="0" max="11" min="11" style="1" width="12"/>
  </cols>
  <sheetData>
    <row r="1" customFormat="false" ht="15" hidden="false" customHeight="true" outlineLevel="0" collapsed="false">
      <c r="A1" s="5" t="s">
        <v>32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</row>
    <row r="2" customFormat="false" ht="15" hidden="false" customHeight="true" outlineLevel="0" collapsed="false">
      <c r="A2" s="3" t="s">
        <v>38</v>
      </c>
      <c r="B2" s="3" t="n">
        <f aca="false">COUNTIF(Listings!$B$2:$B$10000,$A2)</f>
        <v>16</v>
      </c>
      <c r="C2" s="7" t="n">
        <f aca="false" t="array" ref="C2:C2">IFERROR(MIN(IF(Listings!$B$2:$B$10000=$A2,Listings!$E$2:$E$10000)),"")</f>
        <v>0.1</v>
      </c>
      <c r="D2" s="7" t="n">
        <f aca="false">IFERROR(AVERAGEIFS(Listings!$E$2:$E$10000,Listings!$B$2:$B$10000,$A2),"")</f>
        <v>0.180208333333333</v>
      </c>
      <c r="E2" s="7" t="n">
        <f aca="false" t="array" ref="E2:E2">IFERROR(MEDIAN(IF(Listings!$B$2:$B$10000=$A2,Listings!$E$2:$E$10000)),"")</f>
        <v>0.175</v>
      </c>
      <c r="F2" s="7" t="n">
        <f aca="false" t="array" ref="F2:F2">IFERROR(MAX(IF(Listings!$B$2:$B$10000=$A2,Listings!$E$2:$E$10000)),"")</f>
        <v>0.25</v>
      </c>
      <c r="G2" s="7" t="n">
        <f aca="false" t="array" ref="G2:G2">IFERROR(STDEV(IF(Listings!$B$2:$B$10000=$A2,Listings!$E$2:$E$10000)),"")</f>
        <v>0.0509970042693141</v>
      </c>
      <c r="H2" s="10" t="n">
        <f aca="false">SUMIFS(Listings!$C$2:$C$10000,Listings!$B$2:$B$10000,$A2)</f>
        <v>600</v>
      </c>
      <c r="I2" s="10" t="n">
        <f aca="false">SUMIFS(Listings!$D$2:$D$10000,Listings!$B$2:$B$10000,$A2)</f>
        <v>105</v>
      </c>
      <c r="J2" s="7" t="n">
        <f aca="false">IFERROR(I2/H2,"")</f>
        <v>0.175</v>
      </c>
      <c r="K2" s="6" t="n">
        <f aca="false" t="array" ref="K2:K2">IFERROR(MAX(IF(Listings!$B$2:$B$10000=$A2,Listings!$A$2:$A$10000)),"")</f>
        <v>46128</v>
      </c>
    </row>
    <row r="3" customFormat="false" ht="15" hidden="false" customHeight="true" outlineLevel="0" collapsed="false">
      <c r="A3" s="3" t="s">
        <v>55</v>
      </c>
      <c r="B3" s="3" t="n">
        <f aca="false">COUNTIF(Listings!$B$2:$B$10000,$A3)</f>
        <v>0</v>
      </c>
      <c r="C3" s="7" t="n">
        <f aca="false" t="array" ref="C3:C3">IFERROR(MIN(IF(Listings!$B$2:$B$10000=$A3,Listings!$E$2:$E$10000)),"")</f>
        <v>0</v>
      </c>
      <c r="D3" s="7" t="str">
        <f aca="false">IFERROR(AVERAGEIFS(Listings!$E$2:$E$10000,Listings!$B$2:$B$10000,$A3),"")</f>
        <v/>
      </c>
      <c r="E3" s="7" t="str">
        <f aca="false" t="array" ref="E3:E3">IFERROR(MEDIAN(IF(Listings!$B$2:$B$10000=$A3,Listings!$E$2:$E$10000)),"")</f>
        <v/>
      </c>
      <c r="F3" s="7" t="n">
        <f aca="false" t="array" ref="F3:F3">IFERROR(MAX(IF(Listings!$B$2:$B$10000=$A3,Listings!$E$2:$E$10000)),"")</f>
        <v>0</v>
      </c>
      <c r="G3" s="7" t="str">
        <f aca="false" t="array" ref="G3:G3">IFERROR(STDEV(IF(Listings!$B$2:$B$10000=$A3,Listings!$E$2:$E$10000)),"")</f>
        <v/>
      </c>
      <c r="H3" s="10" t="n">
        <f aca="false">SUMIFS(Listings!$C$2:$C$10000,Listings!$B$2:$B$10000,$A3)</f>
        <v>0</v>
      </c>
      <c r="I3" s="10" t="n">
        <f aca="false">SUMIFS(Listings!$D$2:$D$10000,Listings!$B$2:$B$10000,$A3)</f>
        <v>0</v>
      </c>
      <c r="J3" s="7" t="str">
        <f aca="false">IFERROR(I3/H3,"")</f>
        <v/>
      </c>
      <c r="K3" s="6" t="n">
        <f aca="false" t="array" ref="K3:K3">IFERROR(MAX(IF(Listings!$B$2:$B$10000=$A3,Listings!$A$2:$A$10000)),"")</f>
        <v>0</v>
      </c>
    </row>
    <row r="4" customFormat="false" ht="15" hidden="false" customHeight="true" outlineLevel="0" collapsed="false">
      <c r="A4" s="3" t="s">
        <v>39</v>
      </c>
      <c r="B4" s="3" t="n">
        <f aca="false">COUNTIF(Listings!$B$2:$B$10000,$A4)</f>
        <v>21</v>
      </c>
      <c r="C4" s="7" t="n">
        <f aca="false" t="array" ref="C4:C4">IFERROR(MIN(IF(Listings!$B$2:$B$10000=$A4,Listings!$E$2:$E$10000)),"")</f>
        <v>3.3</v>
      </c>
      <c r="D4" s="7" t="n">
        <f aca="false">IFERROR(AVERAGEIFS(Listings!$E$2:$E$10000,Listings!$B$2:$B$10000,$A4),"")</f>
        <v>6.01619047619048</v>
      </c>
      <c r="E4" s="7" t="n">
        <f aca="false" t="array" ref="E4:E4">IFERROR(MEDIAN(IF(Listings!$B$2:$B$10000=$A4,Listings!$E$2:$E$10000)),"")</f>
        <v>5.5</v>
      </c>
      <c r="F4" s="7" t="n">
        <f aca="false" t="array" ref="F4:F4">IFERROR(MAX(IF(Listings!$B$2:$B$10000=$A4,Listings!$E$2:$E$10000)),"")</f>
        <v>8.9</v>
      </c>
      <c r="G4" s="7" t="n">
        <f aca="false" t="array" ref="G4:G4">IFERROR(STDEV(IF(Listings!$B$2:$B$10000=$A4,Listings!$E$2:$E$10000)),"")</f>
        <v>1.96815262667933</v>
      </c>
      <c r="H4" s="10" t="n">
        <f aca="false">SUMIFS(Listings!$C$2:$C$10000,Listings!$B$2:$B$10000,$A4)</f>
        <v>480</v>
      </c>
      <c r="I4" s="10" t="n">
        <f aca="false">SUMIFS(Listings!$D$2:$D$10000,Listings!$B$2:$B$10000,$A4)</f>
        <v>3211</v>
      </c>
      <c r="J4" s="7" t="n">
        <f aca="false">IFERROR(I4/H4,"")</f>
        <v>6.68958333333333</v>
      </c>
      <c r="K4" s="6" t="n">
        <f aca="false" t="array" ref="K4:K4">IFERROR(MAX(IF(Listings!$B$2:$B$10000=$A4,Listings!$A$2:$A$10000)),"")</f>
        <v>46128</v>
      </c>
    </row>
    <row r="5" customFormat="false" ht="15" hidden="false" customHeight="true" outlineLevel="0" collapsed="false">
      <c r="A5" s="3" t="s">
        <v>40</v>
      </c>
      <c r="B5" s="3" t="n">
        <f aca="false">COUNTIF(Listings!$B$2:$B$10000,$A5)</f>
        <v>12</v>
      </c>
      <c r="C5" s="7" t="n">
        <f aca="false" t="array" ref="C5:C5">IFERROR(MIN(IF(Listings!$B$2:$B$10000=$A5,Listings!$E$2:$E$10000)),"")</f>
        <v>20</v>
      </c>
      <c r="D5" s="7" t="n">
        <f aca="false">IFERROR(AVERAGEIFS(Listings!$E$2:$E$10000,Listings!$B$2:$B$10000,$A5),"")</f>
        <v>39.2666666666667</v>
      </c>
      <c r="E5" s="7" t="n">
        <f aca="false" t="array" ref="E5:E5">IFERROR(MEDIAN(IF(Listings!$B$2:$B$10000=$A5,Listings!$E$2:$E$10000)),"")</f>
        <v>41.3</v>
      </c>
      <c r="F5" s="7" t="n">
        <f aca="false" t="array" ref="F5:F5">IFERROR(MAX(IF(Listings!$B$2:$B$10000=$A5,Listings!$E$2:$E$10000)),"")</f>
        <v>58</v>
      </c>
      <c r="G5" s="7" t="n">
        <f aca="false" t="array" ref="G5:G5">IFERROR(STDEV(IF(Listings!$B$2:$B$10000=$A5,Listings!$E$2:$E$10000)),"")</f>
        <v>11.7900831466984</v>
      </c>
      <c r="H5" s="10" t="n">
        <f aca="false">SUMIFS(Listings!$C$2:$C$10000,Listings!$B$2:$B$10000,$A5)</f>
        <v>29</v>
      </c>
      <c r="I5" s="10" t="n">
        <f aca="false">SUMIFS(Listings!$D$2:$D$10000,Listings!$B$2:$B$10000,$A5)</f>
        <v>1193</v>
      </c>
      <c r="J5" s="7" t="n">
        <f aca="false">IFERROR(I5/H5,"")</f>
        <v>41.1379310344828</v>
      </c>
      <c r="K5" s="6" t="n">
        <f aca="false" t="array" ref="K5:K5">IFERROR(MAX(IF(Listings!$B$2:$B$10000=$A5,Listings!$A$2:$A$10000)),"")</f>
        <v>46128</v>
      </c>
    </row>
    <row r="6" customFormat="false" ht="15" hidden="false" customHeight="true" outlineLevel="0" collapsed="false">
      <c r="A6" s="3" t="s">
        <v>41</v>
      </c>
      <c r="B6" s="3" t="n">
        <f aca="false">COUNTIF(Listings!$B$2:$B$10000,$A6)</f>
        <v>10</v>
      </c>
      <c r="C6" s="7" t="n">
        <f aca="false" t="array" ref="C6:C6">IFERROR(MIN(IF(Listings!$B$2:$B$10000=$A6,Listings!$E$2:$E$10000)),"")</f>
        <v>3.6</v>
      </c>
      <c r="D6" s="7" t="n">
        <f aca="false">IFERROR(AVERAGEIFS(Listings!$E$2:$E$10000,Listings!$B$2:$B$10000,$A6),"")</f>
        <v>6.04</v>
      </c>
      <c r="E6" s="7" t="n">
        <f aca="false" t="array" ref="E6:E6">IFERROR(MEDIAN(IF(Listings!$B$2:$B$10000=$A6,Listings!$E$2:$E$10000)),"")</f>
        <v>5.95</v>
      </c>
      <c r="F6" s="7" t="n">
        <f aca="false" t="array" ref="F6:F6">IFERROR(MAX(IF(Listings!$B$2:$B$10000=$A6,Listings!$E$2:$E$10000)),"")</f>
        <v>8.4</v>
      </c>
      <c r="G6" s="7" t="n">
        <f aca="false" t="array" ref="G6:G6">IFERROR(STDEV(IF(Listings!$B$2:$B$10000=$A6,Listings!$E$2:$E$10000)),"")</f>
        <v>1.71784749032037</v>
      </c>
      <c r="H6" s="10" t="n">
        <f aca="false">SUMIFS(Listings!$C$2:$C$10000,Listings!$B$2:$B$10000,$A6)</f>
        <v>140</v>
      </c>
      <c r="I6" s="10" t="n">
        <f aca="false">SUMIFS(Listings!$D$2:$D$10000,Listings!$B$2:$B$10000,$A6)</f>
        <v>873</v>
      </c>
      <c r="J6" s="7" t="n">
        <f aca="false">IFERROR(I6/H6,"")</f>
        <v>6.23571428571429</v>
      </c>
      <c r="K6" s="6" t="n">
        <f aca="false" t="array" ref="K6:K6">IFERROR(MAX(IF(Listings!$B$2:$B$10000=$A6,Listings!$A$2:$A$10000)),"")</f>
        <v>46128</v>
      </c>
    </row>
    <row r="7" customFormat="false" ht="15" hidden="false" customHeight="true" outlineLevel="0" collapsed="false">
      <c r="A7" s="3" t="s">
        <v>42</v>
      </c>
      <c r="B7" s="3" t="n">
        <f aca="false">COUNTIF(Listings!$B$2:$B$10000,$A7)</f>
        <v>7</v>
      </c>
      <c r="C7" s="7" t="n">
        <f aca="false" t="array" ref="C7:C7">IFERROR(MIN(IF(Listings!$B$2:$B$10000=$A7,Listings!$E$2:$E$10000)),"")</f>
        <v>0.35</v>
      </c>
      <c r="D7" s="7" t="n">
        <f aca="false">IFERROR(AVERAGEIFS(Listings!$E$2:$E$10000,Listings!$B$2:$B$10000,$A7),"")</f>
        <v>0.671428571428572</v>
      </c>
      <c r="E7" s="7" t="n">
        <f aca="false" t="array" ref="E7:E7">IFERROR(MEDIAN(IF(Listings!$B$2:$B$10000=$A7,Listings!$E$2:$E$10000)),"")</f>
        <v>0.7</v>
      </c>
      <c r="F7" s="7" t="n">
        <f aca="false" t="array" ref="F7:F7">IFERROR(MAX(IF(Listings!$B$2:$B$10000=$A7,Listings!$E$2:$E$10000)),"")</f>
        <v>1</v>
      </c>
      <c r="G7" s="7" t="n">
        <f aca="false" t="array" ref="G7:G7">IFERROR(STDEV(IF(Listings!$B$2:$B$10000=$A7,Listings!$E$2:$E$10000)),"")</f>
        <v>0.273643842212743</v>
      </c>
      <c r="H7" s="10" t="n">
        <f aca="false">SUMIFS(Listings!$C$2:$C$10000,Listings!$B$2:$B$10000,$A7)</f>
        <v>140</v>
      </c>
      <c r="I7" s="10" t="n">
        <f aca="false">SUMIFS(Listings!$D$2:$D$10000,Listings!$B$2:$B$10000,$A7)</f>
        <v>94</v>
      </c>
      <c r="J7" s="7" t="n">
        <f aca="false">IFERROR(I7/H7,"")</f>
        <v>0.671428571428571</v>
      </c>
      <c r="K7" s="6" t="n">
        <f aca="false" t="array" ref="K7:K7">IFERROR(MAX(IF(Listings!$B$2:$B$10000=$A7,Listings!$A$2:$A$10000)),"")</f>
        <v>46128</v>
      </c>
    </row>
    <row r="8" customFormat="false" ht="15" hidden="false" customHeight="true" outlineLevel="0" collapsed="false">
      <c r="A8" s="3" t="s">
        <v>43</v>
      </c>
      <c r="B8" s="3" t="n">
        <f aca="false">COUNTIF(Listings!$B$2:$B$10000,$A8)</f>
        <v>4</v>
      </c>
      <c r="C8" s="7" t="n">
        <f aca="false" t="array" ref="C8:C8">IFERROR(MIN(IF(Listings!$B$2:$B$10000=$A8,Listings!$E$2:$E$10000)),"")</f>
        <v>3.95</v>
      </c>
      <c r="D8" s="7" t="n">
        <f aca="false">IFERROR(AVERAGEIFS(Listings!$E$2:$E$10000,Listings!$B$2:$B$10000,$A8),"")</f>
        <v>5.9</v>
      </c>
      <c r="E8" s="7" t="n">
        <f aca="false" t="array" ref="E8:E8">IFERROR(MEDIAN(IF(Listings!$B$2:$B$10000=$A8,Listings!$E$2:$E$10000)),"")</f>
        <v>5.625</v>
      </c>
      <c r="F8" s="7" t="n">
        <f aca="false" t="array" ref="F8:F8">IFERROR(MAX(IF(Listings!$B$2:$B$10000=$A8,Listings!$E$2:$E$10000)),"")</f>
        <v>8.4</v>
      </c>
      <c r="G8" s="7" t="n">
        <f aca="false" t="array" ref="G8:G8">IFERROR(STDEV(IF(Listings!$B$2:$B$10000=$A8,Listings!$E$2:$E$10000)),"")</f>
        <v>2.20264991922608</v>
      </c>
      <c r="H8" s="10" t="n">
        <f aca="false">SUMIFS(Listings!$C$2:$C$10000,Listings!$B$2:$B$10000,$A8)</f>
        <v>80</v>
      </c>
      <c r="I8" s="10" t="n">
        <f aca="false">SUMIFS(Listings!$D$2:$D$10000,Listings!$B$2:$B$10000,$A8)</f>
        <v>472</v>
      </c>
      <c r="J8" s="7" t="n">
        <f aca="false">IFERROR(I8/H8,"")</f>
        <v>5.9</v>
      </c>
      <c r="K8" s="6" t="n">
        <f aca="false" t="array" ref="K8:K8">IFERROR(MAX(IF(Listings!$B$2:$B$10000=$A8,Listings!$A$2:$A$10000)),"")</f>
        <v>46128</v>
      </c>
    </row>
    <row r="9" customFormat="false" ht="15" hidden="false" customHeight="true" outlineLevel="0" collapsed="false">
      <c r="A9" s="3" t="s">
        <v>44</v>
      </c>
      <c r="B9" s="3" t="n">
        <f aca="false">COUNTIF(Listings!$B$2:$B$10000,$A9)</f>
        <v>2</v>
      </c>
      <c r="C9" s="7" t="n">
        <f aca="false" t="array" ref="C9:C9">IFERROR(MIN(IF(Listings!$B$2:$B$10000=$A9,Listings!$E$2:$E$10000)),"")</f>
        <v>941</v>
      </c>
      <c r="D9" s="7" t="n">
        <f aca="false">IFERROR(AVERAGEIFS(Listings!$E$2:$E$10000,Listings!$B$2:$B$10000,$A9),"")</f>
        <v>1082</v>
      </c>
      <c r="E9" s="7" t="n">
        <f aca="false" t="array" ref="E9:E9">IFERROR(MEDIAN(IF(Listings!$B$2:$B$10000=$A9,Listings!$E$2:$E$10000)),"")</f>
        <v>1082</v>
      </c>
      <c r="F9" s="7" t="n">
        <f aca="false" t="array" ref="F9:F9">IFERROR(MAX(IF(Listings!$B$2:$B$10000=$A9,Listings!$E$2:$E$10000)),"")</f>
        <v>1223</v>
      </c>
      <c r="G9" s="7" t="n">
        <f aca="false" t="array" ref="G9:G9">IFERROR(STDEV(IF(Listings!$B$2:$B$10000=$A9,Listings!$E$2:$E$10000)),"")</f>
        <v>199.404112294606</v>
      </c>
      <c r="H9" s="10" t="n">
        <f aca="false">SUMIFS(Listings!$C$2:$C$10000,Listings!$B$2:$B$10000,$A9)</f>
        <v>2</v>
      </c>
      <c r="I9" s="10" t="n">
        <f aca="false">SUMIFS(Listings!$D$2:$D$10000,Listings!$B$2:$B$10000,$A9)</f>
        <v>2164</v>
      </c>
      <c r="J9" s="7" t="n">
        <f aca="false">IFERROR(I9/H9,"")</f>
        <v>1082</v>
      </c>
      <c r="K9" s="6" t="n">
        <f aca="false" t="array" ref="K9:K9">IFERROR(MAX(IF(Listings!$B$2:$B$10000=$A9,Listings!$A$2:$A$10000)),"")</f>
        <v>46128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2026-04-19T05:25:04Z</dcterms:created>
  <dc:creator>openpyxl</dc:creator>
  <dc:description/>
  <dc:language>en-US</dc:language>
  <cp:lastModifiedBy/>
  <dcterms:modified xsi:type="dcterms:W3CDTF">2026-04-19T05:32:36Z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